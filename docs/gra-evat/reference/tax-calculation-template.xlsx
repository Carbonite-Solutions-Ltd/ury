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arpei\Desktop\"/>
    </mc:Choice>
  </mc:AlternateContent>
  <xr:revisionPtr revIDLastSave="191" documentId="13_ncr:1_{7CCDC6C3-CD74-49A6-AE81-407770407A56}" xr6:coauthVersionLast="47" xr6:coauthVersionMax="47" xr10:uidLastSave="{F5DBCABA-687B-4D56-87A2-82266D1E63AF}"/>
  <bookViews>
    <workbookView xWindow="0" yWindow="0" windowWidth="28800" windowHeight="12105" xr2:uid="{A6CB5486-DEC9-524E-B553-EFF0DE87A4A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3" i="1" l="1"/>
  <c r="W51" i="1"/>
  <c r="W50" i="1"/>
  <c r="W49" i="1"/>
  <c r="W48" i="1"/>
  <c r="W47" i="1"/>
  <c r="W44" i="1"/>
  <c r="W45" i="1" s="1"/>
  <c r="W43" i="1"/>
  <c r="M40" i="1"/>
  <c r="AB42" i="1"/>
  <c r="AB41" i="1"/>
  <c r="AB40" i="1"/>
  <c r="AB39" i="1"/>
  <c r="AB38" i="1"/>
  <c r="AB37" i="1"/>
  <c r="AB36" i="1"/>
  <c r="AB35" i="1"/>
  <c r="AB34" i="1"/>
  <c r="AB33" i="1"/>
  <c r="AB32" i="1"/>
  <c r="AB43" i="1" s="1"/>
  <c r="AB44" i="1" s="1"/>
  <c r="AB45" i="1" s="1"/>
  <c r="AB14" i="1"/>
  <c r="AB13" i="1"/>
  <c r="AB12" i="1"/>
  <c r="AB11" i="1"/>
  <c r="AB10" i="1"/>
  <c r="AB9" i="1"/>
  <c r="AB8" i="1"/>
  <c r="AB7" i="1"/>
  <c r="AB6" i="1"/>
  <c r="AB5" i="1"/>
  <c r="AB4" i="1"/>
  <c r="AB15" i="1" s="1"/>
  <c r="W42" i="1"/>
  <c r="R42" i="1"/>
  <c r="M42" i="1"/>
  <c r="H42" i="1"/>
  <c r="W41" i="1"/>
  <c r="R41" i="1"/>
  <c r="M41" i="1"/>
  <c r="H41" i="1"/>
  <c r="W40" i="1"/>
  <c r="R40" i="1"/>
  <c r="H40" i="1"/>
  <c r="W39" i="1"/>
  <c r="R39" i="1"/>
  <c r="M39" i="1"/>
  <c r="H39" i="1"/>
  <c r="W38" i="1"/>
  <c r="R38" i="1"/>
  <c r="M38" i="1"/>
  <c r="H38" i="1"/>
  <c r="W37" i="1"/>
  <c r="R37" i="1"/>
  <c r="M37" i="1"/>
  <c r="H37" i="1"/>
  <c r="W36" i="1"/>
  <c r="R36" i="1"/>
  <c r="M36" i="1"/>
  <c r="H36" i="1"/>
  <c r="W35" i="1"/>
  <c r="R35" i="1"/>
  <c r="M35" i="1"/>
  <c r="H35" i="1"/>
  <c r="W34" i="1"/>
  <c r="R34" i="1"/>
  <c r="M34" i="1"/>
  <c r="H34" i="1"/>
  <c r="W33" i="1"/>
  <c r="R33" i="1"/>
  <c r="M33" i="1"/>
  <c r="H33" i="1"/>
  <c r="W32" i="1"/>
  <c r="R32" i="1"/>
  <c r="M32" i="1"/>
  <c r="M43" i="1" s="1"/>
  <c r="H32" i="1"/>
  <c r="H43" i="1" s="1"/>
  <c r="W5" i="1"/>
  <c r="W6" i="1"/>
  <c r="W7" i="1"/>
  <c r="W8" i="1"/>
  <c r="W9" i="1"/>
  <c r="W10" i="1"/>
  <c r="W11" i="1"/>
  <c r="W12" i="1"/>
  <c r="W13" i="1"/>
  <c r="W14" i="1"/>
  <c r="W4" i="1"/>
  <c r="W15" i="1" s="1"/>
  <c r="R5" i="1"/>
  <c r="R6" i="1"/>
  <c r="R7" i="1"/>
  <c r="R8" i="1"/>
  <c r="R9" i="1"/>
  <c r="R10" i="1"/>
  <c r="R11" i="1"/>
  <c r="R12" i="1"/>
  <c r="R13" i="1"/>
  <c r="R14" i="1"/>
  <c r="R4" i="1"/>
  <c r="R15" i="1" s="1"/>
  <c r="M4" i="1"/>
  <c r="M14" i="1"/>
  <c r="M13" i="1"/>
  <c r="M12" i="1"/>
  <c r="M11" i="1"/>
  <c r="M10" i="1"/>
  <c r="M9" i="1"/>
  <c r="M8" i="1"/>
  <c r="M7" i="1"/>
  <c r="M6" i="1"/>
  <c r="M5" i="1"/>
  <c r="H5" i="1"/>
  <c r="H6" i="1"/>
  <c r="H7" i="1"/>
  <c r="H8" i="1"/>
  <c r="H9" i="1"/>
  <c r="H10" i="1"/>
  <c r="H11" i="1"/>
  <c r="H12" i="1"/>
  <c r="H13" i="1"/>
  <c r="H14" i="1"/>
  <c r="H4" i="1"/>
  <c r="H15" i="1" s="1"/>
  <c r="H18" i="1" s="1"/>
  <c r="R43" i="1" l="1"/>
  <c r="R47" i="1" s="1"/>
  <c r="W16" i="1"/>
  <c r="W17" i="1"/>
  <c r="R20" i="1"/>
  <c r="R19" i="1"/>
  <c r="R18" i="1"/>
  <c r="R17" i="1"/>
  <c r="M15" i="1"/>
  <c r="M16" i="1" s="1"/>
  <c r="M44" i="1"/>
  <c r="M45" i="1" s="1"/>
  <c r="M17" i="1"/>
  <c r="AB16" i="1"/>
  <c r="AB17" i="1" s="1"/>
  <c r="R45" i="1"/>
  <c r="R46" i="1"/>
  <c r="R48" i="1"/>
  <c r="H46" i="1"/>
  <c r="H47" i="1"/>
  <c r="H45" i="1"/>
  <c r="H48" i="1" s="1"/>
  <c r="H19" i="1"/>
  <c r="H17" i="1"/>
  <c r="W22" i="1" l="1"/>
  <c r="W21" i="1"/>
  <c r="W20" i="1"/>
  <c r="W19" i="1"/>
  <c r="W25" i="1" s="1"/>
  <c r="R21" i="1"/>
  <c r="R25" i="1"/>
  <c r="M49" i="1"/>
  <c r="M48" i="1"/>
  <c r="M47" i="1"/>
  <c r="M50" i="1" s="1"/>
  <c r="M21" i="1"/>
  <c r="M20" i="1"/>
  <c r="M19" i="1"/>
  <c r="M22" i="1" s="1"/>
  <c r="AB21" i="1"/>
  <c r="AB20" i="1"/>
  <c r="AB19" i="1"/>
  <c r="AB22" i="1" s="1"/>
  <c r="AB49" i="1"/>
  <c r="AB48" i="1"/>
  <c r="AB47" i="1"/>
  <c r="H20" i="1"/>
  <c r="H25" i="1"/>
  <c r="R53" i="1"/>
  <c r="R49" i="1"/>
  <c r="H53" i="1"/>
  <c r="M25" i="1" l="1"/>
  <c r="M53" i="1"/>
  <c r="AB25" i="1"/>
  <c r="AB50" i="1"/>
  <c r="AB53" i="1"/>
</calcChain>
</file>

<file path=xl/sharedStrings.xml><?xml version="1.0" encoding="utf-8"?>
<sst xmlns="http://schemas.openxmlformats.org/spreadsheetml/2006/main" count="127" uniqueCount="26">
  <si>
    <t>EXCLUSIVE SECNARIOS</t>
  </si>
  <si>
    <t>STANDARD RATE</t>
  </si>
  <si>
    <t>STANDARD RATE with CST</t>
  </si>
  <si>
    <t>STANDARD RATE with Tourism</t>
  </si>
  <si>
    <t>STANDARD RATE with CST &amp; Tourism</t>
  </si>
  <si>
    <t>STANDARD RATE with EXCISE DUTY</t>
  </si>
  <si>
    <t>Quantity</t>
  </si>
  <si>
    <t>Price</t>
  </si>
  <si>
    <t>Amount</t>
  </si>
  <si>
    <t>subtotal exc-taxes&amp;levy</t>
  </si>
  <si>
    <t>CST 5%</t>
  </si>
  <si>
    <t> </t>
  </si>
  <si>
    <t>Excise Duty (Plastic &amp; Plastic Products) 5%</t>
  </si>
  <si>
    <t>GETFund 2.5%</t>
  </si>
  <si>
    <t>Subtotal + CST</t>
  </si>
  <si>
    <t>Subtotal + Excise Duty</t>
  </si>
  <si>
    <t>NHIL 2.5%</t>
  </si>
  <si>
    <t>VAT 15%</t>
  </si>
  <si>
    <t>Tourism 1</t>
  </si>
  <si>
    <t>Total Levy</t>
  </si>
  <si>
    <t>Toursim 1%</t>
  </si>
  <si>
    <t>Total Amount</t>
  </si>
  <si>
    <t>INCLUSIVE SCENARIOS</t>
  </si>
  <si>
    <t>Subtotal+CST</t>
  </si>
  <si>
    <t>Tourism 1%</t>
  </si>
  <si>
    <t>Total levy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</si>
</sst>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_);_(* \(#,##0.000\);_(* &quot;-&quot;???_);_(@_)"/>
  </numFmts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26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4" xfId="0" applyBorder="1"/>
    <xf numFmtId="0" fontId="1" fillId="0" borderId="0" xfId="0" applyFont="1"/>
    <xf numFmtId="0" fontId="1" fillId="0" borderId="4" xfId="0" applyFont="1" applyBorder="1"/>
    <xf numFmtId="2" fontId="0" fillId="0" borderId="0" xfId="0" applyNumberForma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3" fillId="0" borderId="0" xfId="0" applyNumberFormat="1" applyFont="1"/>
    <xf numFmtId="164" fontId="1" fillId="2" borderId="3" xfId="0" applyNumberFormat="1" applyFont="1" applyFill="1" applyBorder="1"/>
    <xf numFmtId="164" fontId="1" fillId="0" borderId="5" xfId="0" applyNumberFormat="1" applyFont="1" applyBorder="1"/>
    <xf numFmtId="164" fontId="0" fillId="3" borderId="5" xfId="0" applyNumberFormat="1" applyFill="1" applyBorder="1"/>
    <xf numFmtId="164" fontId="0" fillId="0" borderId="0" xfId="0" applyNumberFormat="1"/>
    <xf numFmtId="164" fontId="0" fillId="0" borderId="5" xfId="0" applyNumberFormat="1" applyBorder="1"/>
    <xf numFmtId="164" fontId="2" fillId="3" borderId="8" xfId="0" applyNumberFormat="1" applyFont="1" applyFill="1" applyBorder="1"/>
    <xf numFmtId="164" fontId="1" fillId="0" borderId="5" xfId="0" applyNumberFormat="1" applyFont="1" applyBorder="1" applyAlignment="1">
      <alignment horizontal="center"/>
    </xf>
    <xf numFmtId="164" fontId="1" fillId="2" borderId="2" xfId="0" applyNumberFormat="1" applyFont="1" applyFill="1" applyBorder="1"/>
    <xf numFmtId="164" fontId="1" fillId="0" borderId="0" xfId="0" applyNumberFormat="1" applyFont="1"/>
    <xf numFmtId="164" fontId="2" fillId="0" borderId="7" xfId="0" applyNumberFormat="1" applyFont="1" applyBorder="1"/>
    <xf numFmtId="164" fontId="1" fillId="0" borderId="0" xfId="0" applyNumberFormat="1" applyFont="1" applyAlignment="1">
      <alignment horizontal="center"/>
    </xf>
    <xf numFmtId="164" fontId="2" fillId="0" borderId="8" xfId="0" applyNumberFormat="1" applyFont="1" applyBorder="1"/>
    <xf numFmtId="164" fontId="1" fillId="2" borderId="3" xfId="0" applyNumberFormat="1" applyFont="1" applyFill="1" applyBorder="1" applyAlignment="1">
      <alignment horizontal="center"/>
    </xf>
    <xf numFmtId="0" fontId="1" fillId="2" borderId="9" xfId="0" applyFont="1" applyFill="1" applyBorder="1"/>
    <xf numFmtId="0" fontId="1" fillId="2" borderId="10" xfId="0" applyFont="1" applyFill="1" applyBorder="1"/>
    <xf numFmtId="164" fontId="1" fillId="2" borderId="11" xfId="0" applyNumberFormat="1" applyFont="1" applyFill="1" applyBorder="1"/>
    <xf numFmtId="0" fontId="1" fillId="0" borderId="12" xfId="0" applyFont="1" applyBorder="1"/>
    <xf numFmtId="164" fontId="1" fillId="0" borderId="13" xfId="0" applyNumberFormat="1" applyFont="1" applyBorder="1"/>
    <xf numFmtId="0" fontId="0" fillId="0" borderId="12" xfId="0" applyBorder="1"/>
    <xf numFmtId="164" fontId="0" fillId="3" borderId="13" xfId="0" applyNumberFormat="1" applyFill="1" applyBorder="1"/>
    <xf numFmtId="164" fontId="0" fillId="0" borderId="13" xfId="0" applyNumberFormat="1" applyBorder="1"/>
    <xf numFmtId="0" fontId="2" fillId="0" borderId="14" xfId="0" applyFont="1" applyBorder="1"/>
    <xf numFmtId="0" fontId="2" fillId="0" borderId="15" xfId="0" applyFont="1" applyBorder="1"/>
    <xf numFmtId="164" fontId="2" fillId="3" borderId="16" xfId="0" applyNumberFormat="1" applyFont="1" applyFill="1" applyBorder="1"/>
    <xf numFmtId="0" fontId="4" fillId="0" borderId="4" xfId="0" applyFont="1" applyBorder="1"/>
    <xf numFmtId="0" fontId="4" fillId="0" borderId="0" xfId="0" applyFont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4" fontId="4" fillId="0" borderId="5" xfId="0" applyNumberFormat="1" applyFont="1" applyBorder="1"/>
    <xf numFmtId="165" fontId="5" fillId="0" borderId="5" xfId="0" applyNumberFormat="1" applyFont="1" applyBorder="1"/>
    <xf numFmtId="164" fontId="5" fillId="0" borderId="5" xfId="0" applyNumberFormat="1" applyFont="1" applyBorder="1"/>
    <xf numFmtId="165" fontId="6" fillId="4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canarytokens.com/static/traffic/m3e02yo1661yq3um4jf4hs0qs/post.js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68</xdr:col>
      <xdr:colOff>495300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E1:AE53"/>
  <sheetViews>
    <sheetView tabSelected="1" topLeftCell="H26" workbookViewId="0">
      <selection activeCell="K33" sqref="K33"/>
    </sheetView>
  </sheetViews>
  <sheetFormatPr defaultColWidth="11" defaultRowHeight="15.75"/>
  <cols>
    <col min="5" max="5" width="20.625" bestFit="1" customWidth="1"/>
    <col min="8" max="8" width="48.125" style="21" customWidth="1"/>
    <col min="10" max="10" width="22.5" bestFit="1" customWidth="1"/>
    <col min="11" max="12" width="13" customWidth="1"/>
    <col min="13" max="13" width="47.625" style="21" customWidth="1"/>
    <col min="15" max="15" width="27.125" customWidth="1"/>
    <col min="18" max="18" width="51.625" style="21" customWidth="1"/>
    <col min="20" max="20" width="25.25" customWidth="1"/>
    <col min="21" max="21" width="22.625" style="21" customWidth="1"/>
    <col min="22" max="22" width="14.125" customWidth="1"/>
    <col min="23" max="23" width="34.625" style="21" customWidth="1"/>
    <col min="25" max="25" width="19.5" customWidth="1"/>
    <col min="26" max="26" width="18" customWidth="1"/>
    <col min="28" max="28" width="36.875" style="21" customWidth="1"/>
  </cols>
  <sheetData>
    <row r="1" spans="5:28" s="11" customFormat="1" ht="46.5">
      <c r="H1" s="17"/>
      <c r="K1" s="12" t="s">
        <v>0</v>
      </c>
      <c r="M1" s="17"/>
      <c r="R1" s="17"/>
      <c r="U1" s="17"/>
      <c r="W1" s="17"/>
      <c r="AB1" s="17"/>
    </row>
    <row r="2" spans="5:28" s="2" customFormat="1">
      <c r="E2" s="15" t="s">
        <v>1</v>
      </c>
      <c r="F2" s="14"/>
      <c r="G2" s="14"/>
      <c r="H2" s="18"/>
      <c r="J2" s="15" t="s">
        <v>2</v>
      </c>
      <c r="K2" s="14"/>
      <c r="L2" s="14"/>
      <c r="M2" s="18"/>
      <c r="O2" s="13" t="s">
        <v>3</v>
      </c>
      <c r="P2" s="14"/>
      <c r="Q2" s="14"/>
      <c r="R2" s="18"/>
      <c r="T2" s="13" t="s">
        <v>4</v>
      </c>
      <c r="U2" s="25"/>
      <c r="V2" s="14"/>
      <c r="W2" s="18"/>
      <c r="Y2" s="31" t="s">
        <v>5</v>
      </c>
      <c r="Z2" s="32"/>
      <c r="AA2" s="32"/>
      <c r="AB2" s="33"/>
    </row>
    <row r="3" spans="5:28" s="2" customFormat="1">
      <c r="E3" s="3"/>
      <c r="F3" s="2" t="s">
        <v>6</v>
      </c>
      <c r="G3" s="2" t="s">
        <v>7</v>
      </c>
      <c r="H3" s="19" t="s">
        <v>8</v>
      </c>
      <c r="J3" s="3"/>
      <c r="K3" s="2" t="s">
        <v>6</v>
      </c>
      <c r="L3" s="2" t="s">
        <v>7</v>
      </c>
      <c r="M3" s="19" t="s">
        <v>8</v>
      </c>
      <c r="O3" s="3"/>
      <c r="P3" s="2" t="s">
        <v>6</v>
      </c>
      <c r="Q3" s="2" t="s">
        <v>7</v>
      </c>
      <c r="R3" s="19" t="s">
        <v>8</v>
      </c>
      <c r="T3" s="3"/>
      <c r="U3" s="26" t="s">
        <v>6</v>
      </c>
      <c r="V3" s="2" t="s">
        <v>7</v>
      </c>
      <c r="W3" s="19" t="s">
        <v>8</v>
      </c>
      <c r="Y3" s="34"/>
      <c r="Z3" s="2" t="s">
        <v>6</v>
      </c>
      <c r="AA3" s="2" t="s">
        <v>7</v>
      </c>
      <c r="AB3" s="35" t="s">
        <v>8</v>
      </c>
    </row>
    <row r="4" spans="5:28">
      <c r="E4" s="1"/>
      <c r="F4">
        <v>45</v>
      </c>
      <c r="G4">
        <v>100</v>
      </c>
      <c r="H4" s="20">
        <f>F4*G4</f>
        <v>4500</v>
      </c>
      <c r="J4" s="1"/>
      <c r="K4">
        <v>1</v>
      </c>
      <c r="L4">
        <v>100</v>
      </c>
      <c r="M4" s="20">
        <f>K4*L4</f>
        <v>100</v>
      </c>
      <c r="O4" s="1"/>
      <c r="P4">
        <v>1</v>
      </c>
      <c r="Q4">
        <v>100</v>
      </c>
      <c r="R4" s="20">
        <f>P4*Q4</f>
        <v>100</v>
      </c>
      <c r="T4" s="1"/>
      <c r="U4" s="21">
        <v>1</v>
      </c>
      <c r="V4">
        <v>100</v>
      </c>
      <c r="W4" s="20">
        <f>U4*V4</f>
        <v>100</v>
      </c>
      <c r="Y4" s="36"/>
      <c r="Z4">
        <v>1</v>
      </c>
      <c r="AA4">
        <v>100</v>
      </c>
      <c r="AB4" s="37">
        <f>Z4*AA4</f>
        <v>100</v>
      </c>
    </row>
    <row r="5" spans="5:28">
      <c r="E5" s="1"/>
      <c r="H5" s="20">
        <f t="shared" ref="H5:H14" si="0">F5*G5</f>
        <v>0</v>
      </c>
      <c r="J5" s="1"/>
      <c r="M5" s="20">
        <f t="shared" ref="M5:M14" si="1">K5*L5</f>
        <v>0</v>
      </c>
      <c r="O5" s="1"/>
      <c r="R5" s="20">
        <f t="shared" ref="R5:R14" si="2">P5*Q5</f>
        <v>0</v>
      </c>
      <c r="T5" s="1"/>
      <c r="W5" s="20">
        <f t="shared" ref="W5:W14" si="3">U5*V5</f>
        <v>0</v>
      </c>
      <c r="Y5" s="36"/>
      <c r="AB5" s="37">
        <f t="shared" ref="AB5:AB14" si="4">Z5*AA5</f>
        <v>0</v>
      </c>
    </row>
    <row r="6" spans="5:28">
      <c r="E6" s="1"/>
      <c r="H6" s="20">
        <f t="shared" si="0"/>
        <v>0</v>
      </c>
      <c r="J6" s="1"/>
      <c r="M6" s="20">
        <f t="shared" si="1"/>
        <v>0</v>
      </c>
      <c r="O6" s="1"/>
      <c r="R6" s="20">
        <f t="shared" si="2"/>
        <v>0</v>
      </c>
      <c r="T6" s="1"/>
      <c r="W6" s="20">
        <f t="shared" si="3"/>
        <v>0</v>
      </c>
      <c r="Y6" s="36"/>
      <c r="AB6" s="37">
        <f t="shared" si="4"/>
        <v>0</v>
      </c>
    </row>
    <row r="7" spans="5:28">
      <c r="E7" s="1"/>
      <c r="H7" s="20">
        <f t="shared" si="0"/>
        <v>0</v>
      </c>
      <c r="J7" s="1"/>
      <c r="M7" s="20">
        <f t="shared" si="1"/>
        <v>0</v>
      </c>
      <c r="O7" s="1"/>
      <c r="R7" s="20">
        <f t="shared" si="2"/>
        <v>0</v>
      </c>
      <c r="T7" s="1"/>
      <c r="W7" s="20">
        <f t="shared" si="3"/>
        <v>0</v>
      </c>
      <c r="Y7" s="36"/>
      <c r="AB7" s="37">
        <f t="shared" si="4"/>
        <v>0</v>
      </c>
    </row>
    <row r="8" spans="5:28">
      <c r="E8" s="1"/>
      <c r="H8" s="20">
        <f t="shared" si="0"/>
        <v>0</v>
      </c>
      <c r="J8" s="1"/>
      <c r="M8" s="20">
        <f t="shared" si="1"/>
        <v>0</v>
      </c>
      <c r="O8" s="1"/>
      <c r="R8" s="20">
        <f t="shared" si="2"/>
        <v>0</v>
      </c>
      <c r="T8" s="1"/>
      <c r="W8" s="20">
        <f t="shared" si="3"/>
        <v>0</v>
      </c>
      <c r="Y8" s="36"/>
      <c r="AB8" s="37">
        <f t="shared" si="4"/>
        <v>0</v>
      </c>
    </row>
    <row r="9" spans="5:28">
      <c r="E9" s="1"/>
      <c r="H9" s="20">
        <f t="shared" si="0"/>
        <v>0</v>
      </c>
      <c r="J9" s="1"/>
      <c r="M9" s="20">
        <f t="shared" si="1"/>
        <v>0</v>
      </c>
      <c r="O9" s="1"/>
      <c r="R9" s="20">
        <f t="shared" si="2"/>
        <v>0</v>
      </c>
      <c r="T9" s="1"/>
      <c r="W9" s="20">
        <f t="shared" si="3"/>
        <v>0</v>
      </c>
      <c r="Y9" s="36"/>
      <c r="AB9" s="37">
        <f t="shared" si="4"/>
        <v>0</v>
      </c>
    </row>
    <row r="10" spans="5:28">
      <c r="E10" s="1"/>
      <c r="H10" s="20">
        <f t="shared" si="0"/>
        <v>0</v>
      </c>
      <c r="J10" s="1"/>
      <c r="M10" s="20">
        <f t="shared" si="1"/>
        <v>0</v>
      </c>
      <c r="O10" s="1"/>
      <c r="R10" s="20">
        <f t="shared" si="2"/>
        <v>0</v>
      </c>
      <c r="T10" s="1"/>
      <c r="W10" s="20">
        <f t="shared" si="3"/>
        <v>0</v>
      </c>
      <c r="Y10" s="36"/>
      <c r="AB10" s="37">
        <f t="shared" si="4"/>
        <v>0</v>
      </c>
    </row>
    <row r="11" spans="5:28">
      <c r="E11" s="1"/>
      <c r="H11" s="20">
        <f t="shared" si="0"/>
        <v>0</v>
      </c>
      <c r="J11" s="1"/>
      <c r="M11" s="20">
        <f t="shared" si="1"/>
        <v>0</v>
      </c>
      <c r="O11" s="1"/>
      <c r="R11" s="20">
        <f t="shared" si="2"/>
        <v>0</v>
      </c>
      <c r="T11" s="1"/>
      <c r="W11" s="20">
        <f t="shared" si="3"/>
        <v>0</v>
      </c>
      <c r="Y11" s="36"/>
      <c r="AB11" s="37">
        <f t="shared" si="4"/>
        <v>0</v>
      </c>
    </row>
    <row r="12" spans="5:28">
      <c r="E12" s="1"/>
      <c r="H12" s="20">
        <f t="shared" si="0"/>
        <v>0</v>
      </c>
      <c r="J12" s="1"/>
      <c r="M12" s="20">
        <f t="shared" si="1"/>
        <v>0</v>
      </c>
      <c r="O12" s="1"/>
      <c r="R12" s="20">
        <f t="shared" si="2"/>
        <v>0</v>
      </c>
      <c r="T12" s="1"/>
      <c r="W12" s="20">
        <f t="shared" si="3"/>
        <v>0</v>
      </c>
      <c r="Y12" s="36"/>
      <c r="AB12" s="37">
        <f t="shared" si="4"/>
        <v>0</v>
      </c>
    </row>
    <row r="13" spans="5:28">
      <c r="E13" s="1"/>
      <c r="H13" s="20">
        <f t="shared" si="0"/>
        <v>0</v>
      </c>
      <c r="J13" s="1"/>
      <c r="M13" s="20">
        <f t="shared" si="1"/>
        <v>0</v>
      </c>
      <c r="O13" s="1"/>
      <c r="R13" s="20">
        <f t="shared" si="2"/>
        <v>0</v>
      </c>
      <c r="T13" s="1"/>
      <c r="W13" s="20">
        <f t="shared" si="3"/>
        <v>0</v>
      </c>
      <c r="Y13" s="36"/>
      <c r="AB13" s="37">
        <f t="shared" si="4"/>
        <v>0</v>
      </c>
    </row>
    <row r="14" spans="5:28">
      <c r="E14" s="1"/>
      <c r="H14" s="20">
        <f t="shared" si="0"/>
        <v>0</v>
      </c>
      <c r="J14" s="1"/>
      <c r="M14" s="20">
        <f t="shared" si="1"/>
        <v>0</v>
      </c>
      <c r="O14" s="1"/>
      <c r="R14" s="20">
        <f t="shared" si="2"/>
        <v>0</v>
      </c>
      <c r="T14" s="1"/>
      <c r="W14" s="20">
        <f t="shared" si="3"/>
        <v>0</v>
      </c>
      <c r="Y14" s="36"/>
      <c r="AB14" s="37">
        <f t="shared" si="4"/>
        <v>0</v>
      </c>
    </row>
    <row r="15" spans="5:28" s="2" customFormat="1">
      <c r="E15" s="3" t="s">
        <v>9</v>
      </c>
      <c r="H15" s="19">
        <f>SUM(H4:H14)</f>
        <v>4500</v>
      </c>
      <c r="J15" s="3" t="s">
        <v>9</v>
      </c>
      <c r="M15" s="19">
        <f>SUM(M4:M14)</f>
        <v>100</v>
      </c>
      <c r="O15" s="42" t="s">
        <v>9</v>
      </c>
      <c r="P15" s="43"/>
      <c r="Q15" s="43"/>
      <c r="R15" s="49">
        <f>SUM(R4:R14)</f>
        <v>100</v>
      </c>
      <c r="T15" s="3" t="s">
        <v>9</v>
      </c>
      <c r="U15" s="26"/>
      <c r="W15" s="19">
        <f>SUM(W4:W14)</f>
        <v>100</v>
      </c>
      <c r="Y15" s="34" t="s">
        <v>9</v>
      </c>
      <c r="AB15" s="35">
        <f>SUM(AB4:AB14)</f>
        <v>100</v>
      </c>
    </row>
    <row r="16" spans="5:28">
      <c r="E16" s="1"/>
      <c r="H16" s="22"/>
      <c r="J16" s="1" t="s">
        <v>10</v>
      </c>
      <c r="M16" s="22">
        <f>0.05*M15</f>
        <v>5</v>
      </c>
      <c r="O16" s="44" t="s">
        <v>11</v>
      </c>
      <c r="P16" s="45"/>
      <c r="Q16" s="45"/>
      <c r="R16" s="46" t="s">
        <v>11</v>
      </c>
      <c r="T16" s="1" t="s">
        <v>10</v>
      </c>
      <c r="W16" s="22">
        <f>0.05*W15</f>
        <v>5</v>
      </c>
      <c r="Y16" s="36" t="s">
        <v>12</v>
      </c>
      <c r="AB16" s="38">
        <f>0.05*AB15</f>
        <v>5</v>
      </c>
    </row>
    <row r="17" spans="5:28">
      <c r="E17" s="1" t="s">
        <v>13</v>
      </c>
      <c r="H17" s="22">
        <f>0.025*H15</f>
        <v>112.5</v>
      </c>
      <c r="J17" s="1" t="s">
        <v>14</v>
      </c>
      <c r="M17" s="22">
        <f>SUM(M15:M16)</f>
        <v>105</v>
      </c>
      <c r="O17" s="44" t="s">
        <v>13</v>
      </c>
      <c r="P17" s="45"/>
      <c r="Q17" s="45"/>
      <c r="R17" s="50">
        <f>0.025*R15</f>
        <v>2.5</v>
      </c>
      <c r="T17" s="1" t="s">
        <v>14</v>
      </c>
      <c r="W17" s="22">
        <f>SUM(W15:W16)</f>
        <v>105</v>
      </c>
      <c r="Y17" s="36" t="s">
        <v>15</v>
      </c>
      <c r="AB17" s="38">
        <f>SUM(AB15:AB16)</f>
        <v>105</v>
      </c>
    </row>
    <row r="18" spans="5:28">
      <c r="E18" s="1" t="s">
        <v>16</v>
      </c>
      <c r="H18" s="22">
        <f>0.025*H15</f>
        <v>112.5</v>
      </c>
      <c r="J18" s="1"/>
      <c r="M18" s="22"/>
      <c r="O18" s="44" t="s">
        <v>16</v>
      </c>
      <c r="P18" s="45"/>
      <c r="Q18" s="45"/>
      <c r="R18" s="50">
        <f>0.025*R15</f>
        <v>2.5</v>
      </c>
      <c r="T18" s="1"/>
      <c r="W18" s="22"/>
      <c r="Y18" s="36"/>
      <c r="AB18" s="38"/>
    </row>
    <row r="19" spans="5:28">
      <c r="E19" s="1" t="s">
        <v>17</v>
      </c>
      <c r="H19" s="22">
        <f>0.15*H15</f>
        <v>675</v>
      </c>
      <c r="J19" s="1" t="s">
        <v>13</v>
      </c>
      <c r="M19" s="22">
        <f>0.025*M17</f>
        <v>2.625</v>
      </c>
      <c r="O19" s="44" t="s">
        <v>18</v>
      </c>
      <c r="P19" s="45"/>
      <c r="Q19" s="45"/>
      <c r="R19" s="51">
        <f>0.01*R15</f>
        <v>1</v>
      </c>
      <c r="T19" s="1" t="s">
        <v>13</v>
      </c>
      <c r="W19" s="22">
        <f>0.025*W17</f>
        <v>2.625</v>
      </c>
      <c r="Y19" s="36" t="s">
        <v>13</v>
      </c>
      <c r="AB19" s="38">
        <f>0.025*AB17</f>
        <v>2.625</v>
      </c>
    </row>
    <row r="20" spans="5:28">
      <c r="E20" s="1" t="s">
        <v>19</v>
      </c>
      <c r="H20" s="22">
        <f>SUM(H17:H18)</f>
        <v>225</v>
      </c>
      <c r="J20" s="1" t="s">
        <v>16</v>
      </c>
      <c r="M20" s="22">
        <f>0.025*M17</f>
        <v>2.625</v>
      </c>
      <c r="O20" s="44" t="s">
        <v>17</v>
      </c>
      <c r="P20" s="45"/>
      <c r="Q20" s="45"/>
      <c r="R20" s="51">
        <f>0.15*R15</f>
        <v>15</v>
      </c>
      <c r="T20" s="1" t="s">
        <v>16</v>
      </c>
      <c r="W20" s="22">
        <f>0.025*W17</f>
        <v>2.625</v>
      </c>
      <c r="Y20" s="36" t="s">
        <v>16</v>
      </c>
      <c r="AB20" s="38">
        <f>0.025*AB17</f>
        <v>2.625</v>
      </c>
    </row>
    <row r="21" spans="5:28">
      <c r="E21" s="1"/>
      <c r="H21" s="22"/>
      <c r="J21" s="1" t="s">
        <v>17</v>
      </c>
      <c r="M21" s="22">
        <f>0.15*M17</f>
        <v>15.75</v>
      </c>
      <c r="O21" s="44" t="s">
        <v>19</v>
      </c>
      <c r="P21" s="45"/>
      <c r="Q21" s="45"/>
      <c r="R21" s="50">
        <f>SUM(R17+R18+R19)</f>
        <v>6</v>
      </c>
      <c r="T21" s="1" t="s">
        <v>20</v>
      </c>
      <c r="W21" s="22">
        <f>0.01*W17</f>
        <v>1.05</v>
      </c>
      <c r="Y21" s="36" t="s">
        <v>17</v>
      </c>
      <c r="AB21" s="38">
        <f>0.15*AB17</f>
        <v>15.75</v>
      </c>
    </row>
    <row r="22" spans="5:28">
      <c r="E22" s="1"/>
      <c r="H22" s="22"/>
      <c r="J22" s="1" t="s">
        <v>19</v>
      </c>
      <c r="M22" s="22">
        <f>M16+M19+M20</f>
        <v>10.25</v>
      </c>
      <c r="O22" s="44" t="s">
        <v>11</v>
      </c>
      <c r="P22" s="45"/>
      <c r="Q22" s="45"/>
      <c r="R22" s="46" t="s">
        <v>11</v>
      </c>
      <c r="T22" s="1" t="s">
        <v>17</v>
      </c>
      <c r="W22" s="22">
        <f>0.15*W17</f>
        <v>15.75</v>
      </c>
      <c r="Y22" s="36" t="s">
        <v>19</v>
      </c>
      <c r="AB22" s="38">
        <f>SUM(AB19:AB20)</f>
        <v>5.25</v>
      </c>
    </row>
    <row r="23" spans="5:28">
      <c r="E23" s="1"/>
      <c r="H23" s="22"/>
      <c r="J23" s="1"/>
      <c r="M23" s="22"/>
      <c r="O23" s="44" t="s">
        <v>11</v>
      </c>
      <c r="P23" s="45"/>
      <c r="Q23" s="45"/>
      <c r="R23" s="46" t="s">
        <v>11</v>
      </c>
      <c r="Y23" s="36"/>
      <c r="AB23" s="38"/>
    </row>
    <row r="24" spans="5:28">
      <c r="E24" s="1"/>
      <c r="H24" s="22"/>
      <c r="J24" s="1"/>
      <c r="M24" s="22"/>
      <c r="O24" s="44" t="s">
        <v>11</v>
      </c>
      <c r="P24" s="45"/>
      <c r="Q24" s="45"/>
      <c r="R24" s="46" t="s">
        <v>11</v>
      </c>
      <c r="T24" s="1"/>
      <c r="W24" s="22"/>
      <c r="Y24" s="36"/>
      <c r="AB24" s="38"/>
    </row>
    <row r="25" spans="5:28" s="10" customFormat="1" ht="33.75">
      <c r="E25" s="8" t="s">
        <v>21</v>
      </c>
      <c r="F25" s="9"/>
      <c r="G25" s="9"/>
      <c r="H25" s="29">
        <f>SUM(H15:H19)</f>
        <v>5400</v>
      </c>
      <c r="J25" s="8" t="s">
        <v>21</v>
      </c>
      <c r="K25" s="9"/>
      <c r="L25" s="9"/>
      <c r="M25" s="23">
        <f>SUM(M20+M19+M18+M17+M21)</f>
        <v>126</v>
      </c>
      <c r="O25" s="47" t="s">
        <v>21</v>
      </c>
      <c r="P25" s="48" t="s">
        <v>11</v>
      </c>
      <c r="Q25" s="48" t="s">
        <v>11</v>
      </c>
      <c r="R25" s="52">
        <f>SUM(R15:R20)</f>
        <v>121</v>
      </c>
      <c r="T25" s="8" t="s">
        <v>21</v>
      </c>
      <c r="U25" s="27"/>
      <c r="V25" s="9"/>
      <c r="W25" s="23">
        <f>SUM(W17:W22)</f>
        <v>127.05</v>
      </c>
      <c r="Y25" s="39" t="s">
        <v>21</v>
      </c>
      <c r="Z25" s="40"/>
      <c r="AA25" s="40"/>
      <c r="AB25" s="41">
        <f>SUM(AB17:AB21)</f>
        <v>126</v>
      </c>
    </row>
    <row r="29" spans="5:28" s="11" customFormat="1" ht="46.5">
      <c r="H29" s="17"/>
      <c r="K29" s="12" t="s">
        <v>22</v>
      </c>
      <c r="M29" s="17"/>
      <c r="R29" s="17"/>
      <c r="U29" s="17"/>
      <c r="W29" s="17"/>
      <c r="AB29" s="17"/>
    </row>
    <row r="30" spans="5:28" s="2" customFormat="1">
      <c r="E30" s="15" t="s">
        <v>1</v>
      </c>
      <c r="F30" s="16"/>
      <c r="G30" s="16"/>
      <c r="H30" s="30"/>
      <c r="J30" s="13" t="s">
        <v>2</v>
      </c>
      <c r="K30" s="14"/>
      <c r="L30" s="14"/>
      <c r="M30" s="18"/>
      <c r="O30" s="13" t="s">
        <v>3</v>
      </c>
      <c r="P30" s="14"/>
      <c r="Q30" s="14"/>
      <c r="R30" s="18"/>
      <c r="T30" s="13" t="s">
        <v>4</v>
      </c>
      <c r="U30" s="25"/>
      <c r="V30" s="14"/>
      <c r="W30" s="18"/>
      <c r="Y30" s="31" t="s">
        <v>5</v>
      </c>
      <c r="Z30" s="32"/>
      <c r="AA30" s="32"/>
      <c r="AB30" s="33"/>
    </row>
    <row r="31" spans="5:28" s="7" customFormat="1">
      <c r="E31" s="5"/>
      <c r="F31" s="6" t="s">
        <v>6</v>
      </c>
      <c r="G31" s="6" t="s">
        <v>7</v>
      </c>
      <c r="H31" s="24" t="s">
        <v>8</v>
      </c>
      <c r="I31" s="6"/>
      <c r="J31" s="5"/>
      <c r="K31" s="6" t="s">
        <v>6</v>
      </c>
      <c r="L31" s="6" t="s">
        <v>7</v>
      </c>
      <c r="M31" s="24" t="s">
        <v>8</v>
      </c>
      <c r="N31" s="6"/>
      <c r="O31" s="5"/>
      <c r="P31" s="6" t="s">
        <v>6</v>
      </c>
      <c r="Q31" s="6" t="s">
        <v>7</v>
      </c>
      <c r="R31" s="24" t="s">
        <v>8</v>
      </c>
      <c r="S31" s="6"/>
      <c r="T31" s="5"/>
      <c r="U31" s="28" t="s">
        <v>6</v>
      </c>
      <c r="V31" s="6" t="s">
        <v>7</v>
      </c>
      <c r="W31" s="24" t="s">
        <v>8</v>
      </c>
      <c r="Y31" s="34"/>
      <c r="Z31" s="2" t="s">
        <v>6</v>
      </c>
      <c r="AA31" s="2" t="s">
        <v>7</v>
      </c>
      <c r="AB31" s="35" t="s">
        <v>8</v>
      </c>
    </row>
    <row r="32" spans="5:28">
      <c r="E32" s="1"/>
      <c r="F32">
        <v>1</v>
      </c>
      <c r="G32">
        <v>100</v>
      </c>
      <c r="H32" s="20">
        <f>F32*G32</f>
        <v>100</v>
      </c>
      <c r="J32" s="1"/>
      <c r="K32">
        <v>1</v>
      </c>
      <c r="L32">
        <v>100</v>
      </c>
      <c r="M32" s="20">
        <f>K32*L32</f>
        <v>100</v>
      </c>
      <c r="O32" s="1"/>
      <c r="P32">
        <v>1</v>
      </c>
      <c r="Q32">
        <v>100</v>
      </c>
      <c r="R32" s="20">
        <f>P32*Q32</f>
        <v>100</v>
      </c>
      <c r="T32" s="1"/>
      <c r="U32" s="21">
        <v>1</v>
      </c>
      <c r="V32">
        <v>100</v>
      </c>
      <c r="W32" s="20">
        <f>U32*V32</f>
        <v>100</v>
      </c>
      <c r="Y32" s="36"/>
      <c r="Z32">
        <v>32</v>
      </c>
      <c r="AA32">
        <v>540</v>
      </c>
      <c r="AB32" s="37">
        <f>Z32*AA32</f>
        <v>17280</v>
      </c>
    </row>
    <row r="33" spans="5:31">
      <c r="E33" s="1"/>
      <c r="H33" s="20">
        <f t="shared" ref="H33:H42" si="5">F33*G33</f>
        <v>0</v>
      </c>
      <c r="J33" s="1"/>
      <c r="M33" s="20">
        <f t="shared" ref="M33:M42" si="6">K33*L33</f>
        <v>0</v>
      </c>
      <c r="O33" s="1"/>
      <c r="R33" s="20">
        <f t="shared" ref="R33:R42" si="7">P33*Q33</f>
        <v>0</v>
      </c>
      <c r="T33" s="1"/>
      <c r="W33" s="20">
        <f t="shared" ref="W33:W42" si="8">U33*V33</f>
        <v>0</v>
      </c>
      <c r="Y33" s="36"/>
      <c r="AB33" s="37">
        <f t="shared" ref="AB33:AB42" si="9">Z33*AA33</f>
        <v>0</v>
      </c>
    </row>
    <row r="34" spans="5:31">
      <c r="E34" s="1"/>
      <c r="H34" s="20">
        <f t="shared" si="5"/>
        <v>0</v>
      </c>
      <c r="J34" s="1"/>
      <c r="M34" s="20">
        <f t="shared" si="6"/>
        <v>0</v>
      </c>
      <c r="O34" s="1"/>
      <c r="R34" s="20">
        <f t="shared" si="7"/>
        <v>0</v>
      </c>
      <c r="T34" s="1"/>
      <c r="W34" s="20">
        <f t="shared" si="8"/>
        <v>0</v>
      </c>
      <c r="Y34" s="36"/>
      <c r="AB34" s="37">
        <f t="shared" si="9"/>
        <v>0</v>
      </c>
    </row>
    <row r="35" spans="5:31">
      <c r="E35" s="1"/>
      <c r="H35" s="20">
        <f t="shared" si="5"/>
        <v>0</v>
      </c>
      <c r="J35" s="1"/>
      <c r="M35" s="20">
        <f t="shared" si="6"/>
        <v>0</v>
      </c>
      <c r="O35" s="1"/>
      <c r="R35" s="20">
        <f t="shared" si="7"/>
        <v>0</v>
      </c>
      <c r="T35" s="1"/>
      <c r="W35" s="20">
        <f t="shared" si="8"/>
        <v>0</v>
      </c>
      <c r="Y35" s="36"/>
      <c r="AB35" s="37">
        <f t="shared" si="9"/>
        <v>0</v>
      </c>
    </row>
    <row r="36" spans="5:31">
      <c r="E36" s="1"/>
      <c r="H36" s="20">
        <f t="shared" si="5"/>
        <v>0</v>
      </c>
      <c r="J36" s="1"/>
      <c r="M36" s="20">
        <f t="shared" si="6"/>
        <v>0</v>
      </c>
      <c r="O36" s="1"/>
      <c r="R36" s="20">
        <f t="shared" si="7"/>
        <v>0</v>
      </c>
      <c r="T36" s="1"/>
      <c r="W36" s="20">
        <f t="shared" si="8"/>
        <v>0</v>
      </c>
      <c r="Y36" s="36"/>
      <c r="AB36" s="37">
        <f t="shared" si="9"/>
        <v>0</v>
      </c>
    </row>
    <row r="37" spans="5:31">
      <c r="E37" s="1"/>
      <c r="H37" s="20">
        <f t="shared" si="5"/>
        <v>0</v>
      </c>
      <c r="J37" s="1"/>
      <c r="M37" s="20">
        <f t="shared" si="6"/>
        <v>0</v>
      </c>
      <c r="O37" s="1"/>
      <c r="R37" s="20">
        <f t="shared" si="7"/>
        <v>0</v>
      </c>
      <c r="T37" s="1"/>
      <c r="W37" s="20">
        <f t="shared" si="8"/>
        <v>0</v>
      </c>
      <c r="Y37" s="36"/>
      <c r="AB37" s="37">
        <f t="shared" si="9"/>
        <v>0</v>
      </c>
    </row>
    <row r="38" spans="5:31">
      <c r="E38" s="1"/>
      <c r="H38" s="20">
        <f t="shared" si="5"/>
        <v>0</v>
      </c>
      <c r="J38" s="1"/>
      <c r="M38" s="20">
        <f t="shared" si="6"/>
        <v>0</v>
      </c>
      <c r="O38" s="1"/>
      <c r="R38" s="20">
        <f t="shared" si="7"/>
        <v>0</v>
      </c>
      <c r="T38" s="1"/>
      <c r="W38" s="20">
        <f t="shared" si="8"/>
        <v>0</v>
      </c>
      <c r="Y38" s="36"/>
      <c r="AB38" s="37">
        <f t="shared" si="9"/>
        <v>0</v>
      </c>
    </row>
    <row r="39" spans="5:31">
      <c r="E39" s="1"/>
      <c r="H39" s="20">
        <f t="shared" si="5"/>
        <v>0</v>
      </c>
      <c r="J39" s="1"/>
      <c r="M39" s="20">
        <f t="shared" si="6"/>
        <v>0</v>
      </c>
      <c r="O39" s="1"/>
      <c r="R39" s="20">
        <f t="shared" si="7"/>
        <v>0</v>
      </c>
      <c r="T39" s="1"/>
      <c r="W39" s="20">
        <f t="shared" si="8"/>
        <v>0</v>
      </c>
      <c r="Y39" s="36"/>
      <c r="AB39" s="37">
        <f t="shared" si="9"/>
        <v>0</v>
      </c>
    </row>
    <row r="40" spans="5:31">
      <c r="E40" s="1"/>
      <c r="H40" s="20">
        <f t="shared" si="5"/>
        <v>0</v>
      </c>
      <c r="J40" s="1"/>
      <c r="M40" s="20">
        <f>K40*L40</f>
        <v>0</v>
      </c>
      <c r="O40" s="1"/>
      <c r="R40" s="20">
        <f t="shared" si="7"/>
        <v>0</v>
      </c>
      <c r="T40" s="1"/>
      <c r="W40" s="20">
        <f t="shared" si="8"/>
        <v>0</v>
      </c>
      <c r="Y40" s="36"/>
      <c r="AB40" s="37">
        <f t="shared" si="9"/>
        <v>0</v>
      </c>
    </row>
    <row r="41" spans="5:31">
      <c r="E41" s="1"/>
      <c r="H41" s="20">
        <f t="shared" si="5"/>
        <v>0</v>
      </c>
      <c r="J41" s="1"/>
      <c r="M41" s="20">
        <f t="shared" si="6"/>
        <v>0</v>
      </c>
      <c r="O41" s="1"/>
      <c r="R41" s="20">
        <f t="shared" si="7"/>
        <v>0</v>
      </c>
      <c r="T41" s="1"/>
      <c r="W41" s="20">
        <f t="shared" si="8"/>
        <v>0</v>
      </c>
      <c r="Y41" s="36"/>
      <c r="AB41" s="37">
        <f t="shared" si="9"/>
        <v>0</v>
      </c>
    </row>
    <row r="42" spans="5:31">
      <c r="E42" s="1"/>
      <c r="H42" s="20">
        <f t="shared" si="5"/>
        <v>0</v>
      </c>
      <c r="J42" s="1"/>
      <c r="M42" s="20">
        <f t="shared" si="6"/>
        <v>0</v>
      </c>
      <c r="O42" s="1"/>
      <c r="R42" s="20">
        <f t="shared" si="7"/>
        <v>0</v>
      </c>
      <c r="T42" s="1"/>
      <c r="W42" s="20">
        <f t="shared" si="8"/>
        <v>0</v>
      </c>
      <c r="Y42" s="36"/>
      <c r="AB42" s="37">
        <f t="shared" si="9"/>
        <v>0</v>
      </c>
    </row>
    <row r="43" spans="5:31" s="2" customFormat="1">
      <c r="E43" s="3" t="s">
        <v>9</v>
      </c>
      <c r="H43" s="19">
        <f>SUM(H32:H42)/1.2</f>
        <v>83.333333333333343</v>
      </c>
      <c r="J43" s="34" t="s">
        <v>9</v>
      </c>
      <c r="M43" s="35">
        <f>SUM(M32:M42)/1.26</f>
        <v>79.365079365079367</v>
      </c>
      <c r="O43" s="3" t="s">
        <v>9</v>
      </c>
      <c r="R43" s="19">
        <f>SUM(R32:R42)/1.21</f>
        <v>82.644628099173559</v>
      </c>
      <c r="T43" s="3" t="s">
        <v>9</v>
      </c>
      <c r="U43" s="26"/>
      <c r="W43" s="19">
        <f>SUM(W32:W42)/1.2705</f>
        <v>78.709169618260532</v>
      </c>
      <c r="Y43" s="34" t="s">
        <v>9</v>
      </c>
      <c r="AB43" s="35">
        <f>SUM(AB32:AB42)/1.26</f>
        <v>13714.285714285714</v>
      </c>
    </row>
    <row r="44" spans="5:31">
      <c r="E44" s="1"/>
      <c r="H44" s="22"/>
      <c r="J44" s="34" t="s">
        <v>10</v>
      </c>
      <c r="K44" s="2"/>
      <c r="L44" s="2"/>
      <c r="M44" s="35">
        <f>0.05*M43</f>
        <v>3.9682539682539684</v>
      </c>
      <c r="O44" s="1"/>
      <c r="R44" s="22"/>
      <c r="T44" s="1" t="s">
        <v>10</v>
      </c>
      <c r="W44" s="22">
        <f>0.05*W43</f>
        <v>3.9354584809130269</v>
      </c>
      <c r="Y44" s="34" t="s">
        <v>12</v>
      </c>
      <c r="Z44" s="2"/>
      <c r="AA44" s="2"/>
      <c r="AB44" s="35">
        <f>0.05*AB43</f>
        <v>685.71428571428578</v>
      </c>
    </row>
    <row r="45" spans="5:31">
      <c r="E45" s="1" t="s">
        <v>13</v>
      </c>
      <c r="H45" s="22">
        <f>0.025*H43</f>
        <v>2.0833333333333335</v>
      </c>
      <c r="J45" s="36" t="s">
        <v>14</v>
      </c>
      <c r="M45" s="38">
        <f>SUM(M43:M44)</f>
        <v>83.333333333333343</v>
      </c>
      <c r="O45" s="1" t="s">
        <v>13</v>
      </c>
      <c r="R45" s="22">
        <f>0.025*R43</f>
        <v>2.0661157024793391</v>
      </c>
      <c r="T45" t="s">
        <v>23</v>
      </c>
      <c r="W45" s="21">
        <f>SUM(W43:W44)</f>
        <v>82.644628099173559</v>
      </c>
      <c r="Y45" s="36" t="s">
        <v>15</v>
      </c>
      <c r="AB45" s="38">
        <f>SUM(AB43:AB44)</f>
        <v>14400</v>
      </c>
    </row>
    <row r="46" spans="5:31">
      <c r="E46" s="1" t="s">
        <v>16</v>
      </c>
      <c r="H46" s="22">
        <f>0.025*H43</f>
        <v>2.0833333333333335</v>
      </c>
      <c r="J46" s="36"/>
      <c r="M46" s="38"/>
      <c r="O46" s="1" t="s">
        <v>16</v>
      </c>
      <c r="R46" s="22">
        <f>0.025*R43</f>
        <v>2.0661157024793391</v>
      </c>
      <c r="Y46" s="36"/>
      <c r="AB46" s="38"/>
      <c r="AE46" s="4"/>
    </row>
    <row r="47" spans="5:31">
      <c r="E47" s="1" t="s">
        <v>17</v>
      </c>
      <c r="H47" s="22">
        <f>0.15*H43</f>
        <v>12.500000000000002</v>
      </c>
      <c r="J47" s="36" t="s">
        <v>13</v>
      </c>
      <c r="M47" s="38">
        <f>0.025*M45</f>
        <v>2.0833333333333335</v>
      </c>
      <c r="O47" s="1" t="s">
        <v>18</v>
      </c>
      <c r="R47" s="22">
        <f>0.01*R43</f>
        <v>0.82644628099173556</v>
      </c>
      <c r="T47" s="1" t="s">
        <v>13</v>
      </c>
      <c r="W47" s="22">
        <f>0.025*W45</f>
        <v>2.0661157024793391</v>
      </c>
      <c r="Y47" s="36" t="s">
        <v>13</v>
      </c>
      <c r="AB47" s="38">
        <f>0.025*AB45</f>
        <v>360</v>
      </c>
    </row>
    <row r="48" spans="5:31">
      <c r="E48" s="1" t="s">
        <v>19</v>
      </c>
      <c r="H48" s="22">
        <f>SUM(H45:H46)</f>
        <v>4.166666666666667</v>
      </c>
      <c r="J48" s="36" t="s">
        <v>16</v>
      </c>
      <c r="M48" s="38">
        <f>0.025*M45</f>
        <v>2.0833333333333335</v>
      </c>
      <c r="O48" s="1" t="s">
        <v>17</v>
      </c>
      <c r="R48" s="22">
        <f>0.15*R43</f>
        <v>12.396694214876034</v>
      </c>
      <c r="T48" s="1" t="s">
        <v>16</v>
      </c>
      <c r="W48" s="22">
        <f>0.025*W45</f>
        <v>2.0661157024793391</v>
      </c>
      <c r="Y48" s="36" t="s">
        <v>16</v>
      </c>
      <c r="AB48" s="38">
        <f>0.025*AB45</f>
        <v>360</v>
      </c>
    </row>
    <row r="49" spans="5:28">
      <c r="E49" s="1"/>
      <c r="H49" s="22"/>
      <c r="J49" s="36" t="s">
        <v>17</v>
      </c>
      <c r="M49" s="38">
        <f>0.15*M45</f>
        <v>12.500000000000002</v>
      </c>
      <c r="O49" s="1" t="s">
        <v>19</v>
      </c>
      <c r="R49" s="22">
        <f>SUM(R45+R47+R46)</f>
        <v>4.9586776859504136</v>
      </c>
      <c r="T49" s="1" t="s">
        <v>24</v>
      </c>
      <c r="W49" s="22">
        <f>0.01*W45</f>
        <v>0.82644628099173556</v>
      </c>
      <c r="Y49" s="36" t="s">
        <v>17</v>
      </c>
      <c r="AB49" s="38">
        <f>0.15*AB45</f>
        <v>2160</v>
      </c>
    </row>
    <row r="50" spans="5:28">
      <c r="E50" s="1"/>
      <c r="H50" s="22"/>
      <c r="J50" s="36" t="s">
        <v>19</v>
      </c>
      <c r="M50" s="38">
        <f>SUM(M47+M48+M44)</f>
        <v>8.1349206349206362</v>
      </c>
      <c r="O50" s="1"/>
      <c r="R50" s="22"/>
      <c r="T50" s="1" t="s">
        <v>17</v>
      </c>
      <c r="W50" s="22">
        <f>0.15*W45</f>
        <v>12.396694214876034</v>
      </c>
      <c r="Y50" s="36" t="s">
        <v>19</v>
      </c>
      <c r="AB50" s="38">
        <f>SUM(AB47:AB48)</f>
        <v>720</v>
      </c>
    </row>
    <row r="51" spans="5:28">
      <c r="E51" s="1"/>
      <c r="H51" s="22"/>
      <c r="J51" s="1"/>
      <c r="M51" s="22"/>
      <c r="O51" s="1"/>
      <c r="R51" s="22"/>
      <c r="T51" s="1" t="s">
        <v>25</v>
      </c>
      <c r="W51" s="22">
        <f>SUM(W47:W49)</f>
        <v>4.9586776859504136</v>
      </c>
      <c r="Y51" s="36"/>
      <c r="AB51" s="38"/>
    </row>
    <row r="52" spans="5:28">
      <c r="E52" s="1"/>
      <c r="H52" s="22"/>
      <c r="J52" s="1"/>
      <c r="M52" s="22"/>
      <c r="O52" s="1"/>
      <c r="R52" s="22"/>
      <c r="T52" s="1"/>
      <c r="W52" s="22"/>
      <c r="Y52" s="36"/>
      <c r="AB52" s="38"/>
    </row>
    <row r="53" spans="5:28" s="10" customFormat="1" ht="33.75">
      <c r="E53" s="8" t="s">
        <v>21</v>
      </c>
      <c r="F53" s="9"/>
      <c r="G53" s="9"/>
      <c r="H53" s="23">
        <f>SUM(H43:H47)</f>
        <v>100</v>
      </c>
      <c r="J53" s="8" t="s">
        <v>21</v>
      </c>
      <c r="K53" s="9"/>
      <c r="L53" s="9"/>
      <c r="M53" s="23">
        <f>SUM(M48+M47+M46+M45+M49)</f>
        <v>100.00000000000001</v>
      </c>
      <c r="O53" s="8" t="s">
        <v>21</v>
      </c>
      <c r="P53" s="9"/>
      <c r="Q53" s="9"/>
      <c r="R53" s="23">
        <f>SUM(R43+R45+R46+R47+R48)</f>
        <v>100</v>
      </c>
      <c r="T53" s="8" t="s">
        <v>21</v>
      </c>
      <c r="U53" s="27"/>
      <c r="V53" s="9"/>
      <c r="W53" s="23">
        <f>SUM(W45:W50)</f>
        <v>100</v>
      </c>
      <c r="Y53" s="39" t="s">
        <v>21</v>
      </c>
      <c r="Z53" s="40"/>
      <c r="AA53" s="40"/>
      <c r="AB53" s="41">
        <f>SUM(AB45:AB49)</f>
        <v>17280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 Sarpei</dc:creator>
  <cp:keywords/>
  <dc:description/>
  <cp:lastModifiedBy>Emmanuel Selorm Zu [ Persol ]</cp:lastModifiedBy>
  <cp:revision>1</cp:revision>
  <dcterms:created xsi:type="dcterms:W3CDTF">2023-11-01T00:01:42Z</dcterms:created>
  <dcterms:modified xsi:type="dcterms:W3CDTF">2025-12-31T11:39:11Z</dcterms:modified>
  <cp:category/>
  <cp:contentStatus/>
</cp:coreProperties>
</file>